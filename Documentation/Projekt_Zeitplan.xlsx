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Digitale Produktion\smarte-Filament-Trockenbox\Documentation\"/>
    </mc:Choice>
  </mc:AlternateContent>
  <xr:revisionPtr revIDLastSave="0" documentId="13_ncr:1_{77DC3956-8439-4AC4-818E-9BD1DE1E1B82}" xr6:coauthVersionLast="47" xr6:coauthVersionMax="47" xr10:uidLastSave="{00000000-0000-0000-0000-000000000000}"/>
  <bookViews>
    <workbookView xWindow="-28920" yWindow="-1860" windowWidth="29040" windowHeight="15720" xr2:uid="{D4CF7F69-3AC2-47AF-A023-C561B1AC08DC}"/>
  </bookViews>
  <sheets>
    <sheet name="Tabelle1" sheetId="1" r:id="rId1"/>
    <sheet name="Tabelle2" sheetId="2" r:id="rId2"/>
  </sheets>
  <definedNames>
    <definedName name="Projektanfang">Tabelle1!$E$4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2" l="1"/>
  <c r="E13" i="2"/>
  <c r="E15" i="2"/>
  <c r="E17" i="2"/>
  <c r="E19" i="2"/>
  <c r="E21" i="2"/>
  <c r="D23" i="2"/>
  <c r="C9" i="2"/>
  <c r="D9" i="2" s="1"/>
  <c r="E9" i="2" s="1"/>
  <c r="D21" i="1"/>
  <c r="D9" i="1"/>
  <c r="E16" i="1"/>
  <c r="E21" i="1" l="1"/>
  <c r="D22" i="1"/>
  <c r="E22" i="1" s="1"/>
  <c r="E9" i="1"/>
  <c r="D11" i="1" s="1"/>
</calcChain>
</file>

<file path=xl/sharedStrings.xml><?xml version="1.0" encoding="utf-8"?>
<sst xmlns="http://schemas.openxmlformats.org/spreadsheetml/2006/main" count="59" uniqueCount="48">
  <si>
    <t>AUFGABE</t>
  </si>
  <si>
    <t>FORTSCHRITT</t>
  </si>
  <si>
    <t>START</t>
  </si>
  <si>
    <t>ENDE</t>
  </si>
  <si>
    <t>Projektanfang:</t>
  </si>
  <si>
    <t>KW</t>
  </si>
  <si>
    <t>März</t>
  </si>
  <si>
    <t>Mai</t>
  </si>
  <si>
    <t>Juni</t>
  </si>
  <si>
    <t xml:space="preserve">Juli </t>
  </si>
  <si>
    <t>Themenwahl</t>
  </si>
  <si>
    <t>Planung &amp; Recherche</t>
  </si>
  <si>
    <t>Zwischenpräsentation</t>
  </si>
  <si>
    <t>Entwicklungsphase</t>
  </si>
  <si>
    <t xml:space="preserve">Prototyping </t>
  </si>
  <si>
    <t>Dokumentation</t>
  </si>
  <si>
    <t>Abgabe</t>
  </si>
  <si>
    <t>Ziele + Anforderungen definieren</t>
  </si>
  <si>
    <t>Softwareentwicklung</t>
  </si>
  <si>
    <t>Ausarbeitung</t>
  </si>
  <si>
    <t xml:space="preserve">Angebotsphase </t>
  </si>
  <si>
    <t>Konzeptsphase</t>
  </si>
  <si>
    <t>Konstruktion</t>
  </si>
  <si>
    <t>Fertigung/Beschaffung</t>
  </si>
  <si>
    <t>Aufbau</t>
  </si>
  <si>
    <t>Ausprobe</t>
  </si>
  <si>
    <t xml:space="preserve">Aufbau beim Kunde </t>
  </si>
  <si>
    <t xml:space="preserve">Abnahme </t>
  </si>
  <si>
    <t xml:space="preserve">Dauer </t>
  </si>
  <si>
    <t>Tage</t>
  </si>
  <si>
    <t>Aug</t>
  </si>
  <si>
    <t>Sept</t>
  </si>
  <si>
    <t>Okt</t>
  </si>
  <si>
    <t>Nov</t>
  </si>
  <si>
    <t>Dez</t>
  </si>
  <si>
    <t>Jan</t>
  </si>
  <si>
    <t>Feb</t>
  </si>
  <si>
    <t>Oktober</t>
  </si>
  <si>
    <t>November</t>
  </si>
  <si>
    <t>Dezember</t>
  </si>
  <si>
    <t>Januar</t>
  </si>
  <si>
    <t>Auswahl Elektronik</t>
  </si>
  <si>
    <t>Auswahl mechanische Kaufteile</t>
  </si>
  <si>
    <t>Bestellung  Kaufteile</t>
  </si>
  <si>
    <t>Mechanische Entwicklung</t>
  </si>
  <si>
    <t>Test des Gesamtsystems</t>
  </si>
  <si>
    <t>Aufbau und Test der Mechanik</t>
  </si>
  <si>
    <t>Aufbau und Test der Elektronik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</si>
</sst>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;@"/>
    <numFmt numFmtId="165" formatCode="ddd\,\ d/m/yyyy"/>
    <numFmt numFmtId="166" formatCode="[$-F800]dddd\,\ mmmm\ dd\,\ yyyy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24"/>
      <color theme="1"/>
      <name val="Arial"/>
      <family val="2"/>
    </font>
    <font>
      <sz val="11"/>
      <color rgb="FF000000"/>
      <name val="Aptos Narrow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1" tint="0.34998626667073579"/>
        <bgColor theme="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89F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B3D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ADADAD"/>
        <bgColor rgb="FF000000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theme="0" tint="-0.14996795556505021"/>
      </bottom>
      <diagonal/>
    </border>
    <border>
      <left/>
      <right/>
      <top style="thin">
        <color indexed="64"/>
      </top>
      <bottom style="medium">
        <color theme="0" tint="-0.14996795556505021"/>
      </bottom>
      <diagonal/>
    </border>
    <border>
      <left style="thin">
        <color indexed="64"/>
      </left>
      <right/>
      <top style="medium">
        <color theme="0" tint="-0.14996795556505021"/>
      </top>
      <bottom style="thin">
        <color indexed="64"/>
      </bottom>
      <diagonal/>
    </border>
    <border>
      <left/>
      <right/>
      <top style="medium">
        <color theme="0" tint="-0.14996795556505021"/>
      </top>
      <bottom style="thin">
        <color indexed="64"/>
      </bottom>
      <diagonal/>
    </border>
    <border>
      <left/>
      <right/>
      <top style="medium">
        <color rgb="FFD9D9D9"/>
      </top>
      <bottom style="thin">
        <color indexed="64"/>
      </bottom>
      <diagonal/>
    </border>
    <border>
      <left/>
      <right/>
      <top style="thin">
        <color indexed="64"/>
      </top>
      <bottom style="medium">
        <color rgb="FFD9D9D9"/>
      </bottom>
      <diagonal/>
    </border>
    <border>
      <left style="thin">
        <color indexed="64"/>
      </left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1" fillId="0" borderId="3" applyFill="0">
      <alignment horizontal="left" vertical="center" indent="2"/>
    </xf>
    <xf numFmtId="164" fontId="1" fillId="0" borderId="3" applyFill="0">
      <alignment horizontal="center" vertical="center"/>
    </xf>
    <xf numFmtId="165" fontId="1" fillId="0" borderId="4">
      <alignment horizontal="center" vertical="center"/>
    </xf>
  </cellStyleXfs>
  <cellXfs count="78">
    <xf numFmtId="0" fontId="0" fillId="0" borderId="0" xfId="0"/>
    <xf numFmtId="0" fontId="5" fillId="2" borderId="2" xfId="0" applyFont="1" applyFill="1" applyBorder="1" applyAlignment="1">
      <alignment horizontal="left" vertical="center" indent="1"/>
    </xf>
    <xf numFmtId="0" fontId="1" fillId="3" borderId="3" xfId="3" applyFill="1">
      <alignment horizontal="left" vertical="center" indent="2"/>
    </xf>
    <xf numFmtId="0" fontId="1" fillId="4" borderId="3" xfId="3" applyFill="1">
      <alignment horizontal="left" vertical="center" indent="2"/>
    </xf>
    <xf numFmtId="0" fontId="5" fillId="2" borderId="2" xfId="0" applyFont="1" applyFill="1" applyBorder="1" applyAlignment="1">
      <alignment horizontal="center" vertical="center" wrapText="1"/>
    </xf>
    <xf numFmtId="9" fontId="6" fillId="3" borderId="3" xfId="1" applyFont="1" applyFill="1" applyBorder="1" applyAlignment="1">
      <alignment horizontal="center" vertical="center"/>
    </xf>
    <xf numFmtId="164" fontId="1" fillId="3" borderId="3" xfId="4" applyFill="1">
      <alignment horizontal="center" vertical="center"/>
    </xf>
    <xf numFmtId="9" fontId="6" fillId="4" borderId="3" xfId="1" applyFont="1" applyFill="1" applyBorder="1" applyAlignment="1">
      <alignment horizontal="center" vertical="center"/>
    </xf>
    <xf numFmtId="164" fontId="1" fillId="4" borderId="3" xfId="4" applyFill="1">
      <alignment horizontal="center" vertical="center"/>
    </xf>
    <xf numFmtId="0" fontId="4" fillId="5" borderId="0" xfId="0" applyFont="1" applyFill="1"/>
    <xf numFmtId="0" fontId="0" fillId="6" borderId="0" xfId="0" applyFill="1"/>
    <xf numFmtId="0" fontId="3" fillId="7" borderId="3" xfId="0" applyFont="1" applyFill="1" applyBorder="1" applyAlignment="1">
      <alignment horizontal="left" vertical="center" indent="1"/>
    </xf>
    <xf numFmtId="9" fontId="6" fillId="7" borderId="3" xfId="1" applyFont="1" applyFill="1" applyBorder="1" applyAlignment="1">
      <alignment horizontal="center" vertical="center"/>
    </xf>
    <xf numFmtId="164" fontId="0" fillId="7" borderId="3" xfId="0" applyNumberFormat="1" applyFill="1" applyBorder="1" applyAlignment="1">
      <alignment horizontal="center" vertical="center"/>
    </xf>
    <xf numFmtId="164" fontId="6" fillId="7" borderId="3" xfId="0" applyNumberFormat="1" applyFont="1" applyFill="1" applyBorder="1" applyAlignment="1">
      <alignment horizontal="center" vertical="center"/>
    </xf>
    <xf numFmtId="0" fontId="1" fillId="8" borderId="3" xfId="3" applyFill="1">
      <alignment horizontal="left" vertical="center" indent="2"/>
    </xf>
    <xf numFmtId="164" fontId="1" fillId="8" borderId="3" xfId="4" applyFill="1">
      <alignment horizontal="center" vertical="center"/>
    </xf>
    <xf numFmtId="0" fontId="3" fillId="9" borderId="3" xfId="0" applyFont="1" applyFill="1" applyBorder="1" applyAlignment="1">
      <alignment horizontal="left" vertical="center" indent="1"/>
    </xf>
    <xf numFmtId="9" fontId="6" fillId="9" borderId="3" xfId="1" applyFont="1" applyFill="1" applyBorder="1" applyAlignment="1">
      <alignment horizontal="center" vertical="center"/>
    </xf>
    <xf numFmtId="164" fontId="0" fillId="9" borderId="3" xfId="0" applyNumberFormat="1" applyFill="1" applyBorder="1" applyAlignment="1">
      <alignment horizontal="center" vertical="center"/>
    </xf>
    <xf numFmtId="164" fontId="6" fillId="9" borderId="3" xfId="0" applyNumberFormat="1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left" vertical="center" indent="1"/>
    </xf>
    <xf numFmtId="9" fontId="6" fillId="10" borderId="3" xfId="1" applyFont="1" applyFill="1" applyBorder="1" applyAlignment="1">
      <alignment horizontal="center" vertical="center"/>
    </xf>
    <xf numFmtId="164" fontId="0" fillId="10" borderId="3" xfId="0" applyNumberFormat="1" applyFill="1" applyBorder="1" applyAlignment="1">
      <alignment horizontal="center" vertical="center"/>
    </xf>
    <xf numFmtId="164" fontId="6" fillId="10" borderId="3" xfId="0" applyNumberFormat="1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left" vertical="center" indent="1"/>
    </xf>
    <xf numFmtId="9" fontId="6" fillId="11" borderId="3" xfId="1" applyFont="1" applyFill="1" applyBorder="1" applyAlignment="1">
      <alignment horizontal="center" vertical="center"/>
    </xf>
    <xf numFmtId="164" fontId="0" fillId="11" borderId="3" xfId="0" applyNumberFormat="1" applyFill="1" applyBorder="1" applyAlignment="1">
      <alignment horizontal="center" vertical="center"/>
    </xf>
    <xf numFmtId="164" fontId="6" fillId="11" borderId="3" xfId="0" applyNumberFormat="1" applyFont="1" applyFill="1" applyBorder="1" applyAlignment="1">
      <alignment horizontal="center" vertical="center"/>
    </xf>
    <xf numFmtId="0" fontId="1" fillId="12" borderId="3" xfId="3" applyFill="1">
      <alignment horizontal="left" vertical="center" indent="2"/>
    </xf>
    <xf numFmtId="164" fontId="1" fillId="12" borderId="3" xfId="4" applyFill="1">
      <alignment horizontal="center" vertical="center"/>
    </xf>
    <xf numFmtId="0" fontId="0" fillId="7" borderId="0" xfId="0" applyFill="1"/>
    <xf numFmtId="0" fontId="1" fillId="13" borderId="3" xfId="3" applyFill="1">
      <alignment horizontal="left" vertical="center" indent="2"/>
    </xf>
    <xf numFmtId="9" fontId="6" fillId="13" borderId="3" xfId="1" applyFont="1" applyFill="1" applyBorder="1" applyAlignment="1">
      <alignment horizontal="center" vertical="center"/>
    </xf>
    <xf numFmtId="164" fontId="1" fillId="13" borderId="3" xfId="4" applyFill="1">
      <alignment horizontal="center" vertical="center"/>
    </xf>
    <xf numFmtId="0" fontId="2" fillId="0" borderId="0" xfId="2" applyBorder="1" applyAlignment="1">
      <alignment horizontal="right" indent="1"/>
    </xf>
    <xf numFmtId="0" fontId="0" fillId="0" borderId="0" xfId="0" applyAlignment="1">
      <alignment horizontal="center" vertical="center"/>
    </xf>
    <xf numFmtId="0" fontId="0" fillId="10" borderId="0" xfId="0" applyFill="1"/>
    <xf numFmtId="0" fontId="7" fillId="0" borderId="0" xfId="0" applyFont="1" applyAlignment="1">
      <alignment horizontal="left" vertical="center" indent="6" readingOrder="1"/>
    </xf>
    <xf numFmtId="0" fontId="0" fillId="15" borderId="0" xfId="0" applyFill="1"/>
    <xf numFmtId="0" fontId="0" fillId="9" borderId="0" xfId="0" applyFill="1"/>
    <xf numFmtId="0" fontId="0" fillId="6" borderId="6" xfId="0" applyFill="1" applyBorder="1"/>
    <xf numFmtId="0" fontId="4" fillId="5" borderId="8" xfId="0" applyFont="1" applyFill="1" applyBorder="1"/>
    <xf numFmtId="0" fontId="4" fillId="5" borderId="9" xfId="0" applyFont="1" applyFill="1" applyBorder="1"/>
    <xf numFmtId="0" fontId="4" fillId="5" borderId="10" xfId="0" applyFont="1" applyFill="1" applyBorder="1"/>
    <xf numFmtId="0" fontId="0" fillId="6" borderId="5" xfId="0" applyFill="1" applyBorder="1"/>
    <xf numFmtId="0" fontId="0" fillId="0" borderId="6" xfId="0" applyBorder="1"/>
    <xf numFmtId="0" fontId="0" fillId="0" borderId="7" xfId="0" applyBorder="1"/>
    <xf numFmtId="0" fontId="0" fillId="6" borderId="7" xfId="0" applyFill="1" applyBorder="1"/>
    <xf numFmtId="0" fontId="3" fillId="17" borderId="11" xfId="0" applyFont="1" applyFill="1" applyBorder="1" applyAlignment="1">
      <alignment horizontal="left" vertical="center" indent="1"/>
    </xf>
    <xf numFmtId="164" fontId="0" fillId="17" borderId="12" xfId="0" applyNumberFormat="1" applyFill="1" applyBorder="1" applyAlignment="1">
      <alignment horizontal="center" vertical="center"/>
    </xf>
    <xf numFmtId="164" fontId="6" fillId="17" borderId="12" xfId="0" applyNumberFormat="1" applyFont="1" applyFill="1" applyBorder="1" applyAlignment="1">
      <alignment horizontal="center" vertical="center"/>
    </xf>
    <xf numFmtId="0" fontId="1" fillId="14" borderId="13" xfId="3" applyFill="1" applyBorder="1">
      <alignment horizontal="left" vertical="center" indent="2"/>
    </xf>
    <xf numFmtId="14" fontId="1" fillId="14" borderId="14" xfId="4" applyNumberFormat="1" applyFill="1" applyBorder="1">
      <alignment horizontal="center" vertical="center"/>
    </xf>
    <xf numFmtId="0" fontId="0" fillId="0" borderId="9" xfId="0" applyBorder="1"/>
    <xf numFmtId="0" fontId="0" fillId="17" borderId="9" xfId="0" applyFill="1" applyBorder="1"/>
    <xf numFmtId="0" fontId="0" fillId="0" borderId="10" xfId="0" applyBorder="1"/>
    <xf numFmtId="0" fontId="3" fillId="16" borderId="11" xfId="0" applyFont="1" applyFill="1" applyBorder="1" applyAlignment="1">
      <alignment horizontal="left" vertical="center" indent="1"/>
    </xf>
    <xf numFmtId="14" fontId="0" fillId="16" borderId="12" xfId="0" applyNumberFormat="1" applyFill="1" applyBorder="1" applyAlignment="1">
      <alignment horizontal="center" vertical="center"/>
    </xf>
    <xf numFmtId="14" fontId="6" fillId="16" borderId="12" xfId="0" applyNumberFormat="1" applyFont="1" applyFill="1" applyBorder="1" applyAlignment="1">
      <alignment horizontal="center" vertical="center"/>
    </xf>
    <xf numFmtId="0" fontId="1" fillId="6" borderId="13" xfId="3" applyFill="1" applyBorder="1">
      <alignment horizontal="left" vertical="center" indent="2"/>
    </xf>
    <xf numFmtId="14" fontId="1" fillId="6" borderId="14" xfId="4" applyNumberFormat="1" applyFill="1" applyBorder="1">
      <alignment horizontal="center" vertical="center"/>
    </xf>
    <xf numFmtId="0" fontId="0" fillId="16" borderId="9" xfId="0" applyFill="1" applyBorder="1"/>
    <xf numFmtId="0" fontId="10" fillId="18" borderId="9" xfId="0" applyFont="1" applyFill="1" applyBorder="1"/>
    <xf numFmtId="14" fontId="0" fillId="17" borderId="12" xfId="0" applyNumberFormat="1" applyFill="1" applyBorder="1" applyAlignment="1">
      <alignment horizontal="center" vertical="center"/>
    </xf>
    <xf numFmtId="14" fontId="6" fillId="17" borderId="12" xfId="0" applyNumberFormat="1" applyFont="1" applyFill="1" applyBorder="1" applyAlignment="1">
      <alignment horizontal="center" vertical="center"/>
    </xf>
    <xf numFmtId="14" fontId="8" fillId="6" borderId="15" xfId="0" applyNumberFormat="1" applyFont="1" applyFill="1" applyBorder="1" applyAlignment="1">
      <alignment horizontal="center" vertical="center" wrapText="1" readingOrder="1"/>
    </xf>
    <xf numFmtId="14" fontId="8" fillId="17" borderId="16" xfId="0" applyNumberFormat="1" applyFont="1" applyFill="1" applyBorder="1" applyAlignment="1">
      <alignment horizontal="center" vertical="center" wrapText="1" readingOrder="1"/>
    </xf>
    <xf numFmtId="0" fontId="5" fillId="2" borderId="17" xfId="0" applyFont="1" applyFill="1" applyBorder="1" applyAlignment="1">
      <alignment horizontal="left" vertical="center" indent="1"/>
    </xf>
    <xf numFmtId="0" fontId="0" fillId="0" borderId="8" xfId="0" applyBorder="1"/>
    <xf numFmtId="0" fontId="0" fillId="16" borderId="10" xfId="0" applyFill="1" applyBorder="1"/>
    <xf numFmtId="0" fontId="0" fillId="6" borderId="0" xfId="0" applyFill="1" applyAlignment="1">
      <alignment horizontal="center"/>
    </xf>
    <xf numFmtId="0" fontId="2" fillId="0" borderId="0" xfId="2" applyBorder="1" applyAlignment="1">
      <alignment horizontal="right" indent="1"/>
    </xf>
    <xf numFmtId="166" fontId="1" fillId="0" borderId="0" xfId="5" applyNumberFormat="1" applyBorder="1">
      <alignment horizontal="center" vertical="center"/>
    </xf>
    <xf numFmtId="166" fontId="1" fillId="0" borderId="19" xfId="5" applyNumberFormat="1" applyBorder="1">
      <alignment horizontal="center" vertical="center"/>
    </xf>
    <xf numFmtId="166" fontId="1" fillId="0" borderId="20" xfId="5" applyNumberFormat="1" applyBorder="1">
      <alignment horizontal="center" vertical="center"/>
    </xf>
    <xf numFmtId="0" fontId="2" fillId="0" borderId="18" xfId="2" applyBorder="1" applyAlignment="1">
      <alignment horizontal="right" indent="1"/>
    </xf>
    <xf numFmtId="0" fontId="2" fillId="0" borderId="19" xfId="2" applyBorder="1" applyAlignment="1">
      <alignment horizontal="right" indent="1"/>
    </xf>
  </cellXfs>
  <cellStyles count="6">
    <cellStyle name="Aufgabe" xfId="3" xr:uid="{577594B4-EF64-411B-B2A2-BE83A94320C8}"/>
    <cellStyle name="Datum" xfId="4" xr:uid="{459874E2-7F54-437C-AF91-A5A806DF6BDF}"/>
    <cellStyle name="Projektanfang" xfId="5" xr:uid="{4A4C8B6B-AD8A-4FB6-AE79-6D20439F91CD}"/>
    <cellStyle name="Prozent" xfId="1" builtinId="5"/>
    <cellStyle name="Standard" xfId="0" builtinId="0"/>
    <cellStyle name="Überschrift 3" xfId="2" builtinId="18"/>
  </cellStyles>
  <dxfs count="0"/>
  <tableStyles count="0" defaultTableStyle="TableStyleMedium2" defaultPivotStyle="PivotStyleLight16"/>
  <colors>
    <mruColors>
      <color rgb="FFFF3399"/>
      <color rgb="FFFF5353"/>
      <color rgb="FFFFB3D9"/>
      <color rgb="FFFF3300"/>
      <color rgb="FFFFE8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887B0-0708-4361-A11D-19F2D2FFBB84}">
  <dimension ref="B3:X26"/>
  <sheetViews>
    <sheetView tabSelected="1" zoomScaleNormal="100" workbookViewId="0">
      <selection activeCell="W30" sqref="W30"/>
    </sheetView>
  </sheetViews>
  <sheetFormatPr baseColWidth="10" defaultRowHeight="14.5" x14ac:dyDescent="0.35"/>
  <cols>
    <col min="2" max="2" width="43.81640625" customWidth="1"/>
    <col min="3" max="3" width="17.1796875" customWidth="1"/>
    <col min="6" max="6" width="4.08984375" bestFit="1" customWidth="1"/>
    <col min="7" max="21" width="3" bestFit="1" customWidth="1"/>
  </cols>
  <sheetData>
    <row r="3" spans="2:22" x14ac:dyDescent="0.35">
      <c r="B3" s="72" t="s">
        <v>4</v>
      </c>
      <c r="C3" s="72"/>
      <c r="D3" s="73">
        <v>45931</v>
      </c>
      <c r="E3" s="73"/>
    </row>
    <row r="4" spans="2:22" x14ac:dyDescent="0.35">
      <c r="B4" s="35"/>
      <c r="C4" s="35"/>
      <c r="D4" s="36"/>
    </row>
    <row r="5" spans="2:22" x14ac:dyDescent="0.35">
      <c r="B5" s="10"/>
      <c r="C5" s="10"/>
      <c r="D5" s="10"/>
      <c r="E5" s="10"/>
      <c r="F5" s="10"/>
      <c r="G5" s="71" t="s">
        <v>37</v>
      </c>
      <c r="H5" s="71"/>
      <c r="I5" s="71"/>
      <c r="J5" s="71"/>
      <c r="K5" s="71"/>
      <c r="L5" s="71" t="s">
        <v>38</v>
      </c>
      <c r="M5" s="71"/>
      <c r="N5" s="71"/>
      <c r="O5" s="71"/>
      <c r="P5" s="71" t="s">
        <v>39</v>
      </c>
      <c r="Q5" s="71"/>
      <c r="R5" s="71"/>
      <c r="S5" s="71"/>
      <c r="T5" s="71" t="s">
        <v>40</v>
      </c>
      <c r="U5" s="71"/>
    </row>
    <row r="6" spans="2:22" x14ac:dyDescent="0.35">
      <c r="B6" s="1" t="s">
        <v>0</v>
      </c>
      <c r="C6" s="4" t="s">
        <v>1</v>
      </c>
      <c r="D6" s="4" t="s">
        <v>2</v>
      </c>
      <c r="E6" s="4" t="s">
        <v>3</v>
      </c>
      <c r="F6" s="9" t="s">
        <v>5</v>
      </c>
      <c r="G6" s="9">
        <v>40</v>
      </c>
      <c r="H6" s="9">
        <v>41</v>
      </c>
      <c r="I6" s="9">
        <v>42</v>
      </c>
      <c r="J6" s="9">
        <v>43</v>
      </c>
      <c r="K6" s="9">
        <v>44</v>
      </c>
      <c r="L6" s="9">
        <v>45</v>
      </c>
      <c r="M6" s="9">
        <v>46</v>
      </c>
      <c r="N6" s="9">
        <v>47</v>
      </c>
      <c r="O6" s="9">
        <v>48</v>
      </c>
      <c r="P6" s="9">
        <v>49</v>
      </c>
      <c r="Q6" s="9">
        <v>50</v>
      </c>
      <c r="R6" s="9">
        <v>51</v>
      </c>
      <c r="S6" s="9">
        <v>52</v>
      </c>
      <c r="T6" s="9">
        <v>1</v>
      </c>
      <c r="U6" s="9">
        <v>2</v>
      </c>
    </row>
    <row r="7" spans="2:22" ht="15" thickBot="1" x14ac:dyDescent="0.4"/>
    <row r="8" spans="2:22" ht="15" thickBot="1" x14ac:dyDescent="0.4">
      <c r="B8" s="21" t="s">
        <v>10</v>
      </c>
      <c r="C8" s="22"/>
      <c r="D8" s="23"/>
      <c r="E8" s="24"/>
    </row>
    <row r="9" spans="2:22" ht="15" thickBot="1" x14ac:dyDescent="0.4">
      <c r="B9" s="32"/>
      <c r="C9" s="33">
        <v>1</v>
      </c>
      <c r="D9" s="34">
        <f>D3</f>
        <v>45931</v>
      </c>
      <c r="E9" s="34">
        <f>D9</f>
        <v>45931</v>
      </c>
      <c r="G9" s="37"/>
    </row>
    <row r="10" spans="2:22" ht="15" thickBot="1" x14ac:dyDescent="0.4">
      <c r="B10" s="25" t="s">
        <v>11</v>
      </c>
      <c r="C10" s="26"/>
      <c r="D10" s="27"/>
      <c r="E10" s="28"/>
      <c r="G10" s="39"/>
      <c r="H10" s="39"/>
      <c r="I10" s="39"/>
      <c r="J10" s="39"/>
      <c r="K10" s="39"/>
    </row>
    <row r="11" spans="2:22" ht="15" thickBot="1" x14ac:dyDescent="0.4">
      <c r="B11" s="2" t="s">
        <v>17</v>
      </c>
      <c r="C11" s="5">
        <v>1</v>
      </c>
      <c r="D11" s="6">
        <f>E9+1</f>
        <v>45932</v>
      </c>
      <c r="E11" s="6">
        <v>45942</v>
      </c>
      <c r="G11" s="39"/>
      <c r="H11" s="39"/>
    </row>
    <row r="12" spans="2:22" ht="14.4" customHeight="1" thickBot="1" x14ac:dyDescent="0.4">
      <c r="B12" s="2" t="s">
        <v>41</v>
      </c>
      <c r="C12" s="5">
        <v>1</v>
      </c>
      <c r="D12" s="6">
        <v>45943</v>
      </c>
      <c r="E12" s="6">
        <v>45955</v>
      </c>
      <c r="I12" s="39"/>
      <c r="J12" s="39"/>
      <c r="V12" s="38"/>
    </row>
    <row r="13" spans="2:22" ht="14.4" customHeight="1" thickBot="1" x14ac:dyDescent="0.4">
      <c r="B13" s="2" t="s">
        <v>42</v>
      </c>
      <c r="C13" s="5">
        <v>1</v>
      </c>
      <c r="D13" s="6">
        <v>45943</v>
      </c>
      <c r="E13" s="6">
        <v>45955</v>
      </c>
      <c r="I13" s="39"/>
      <c r="J13" s="39"/>
      <c r="V13" s="38"/>
    </row>
    <row r="14" spans="2:22" ht="12" customHeight="1" thickBot="1" x14ac:dyDescent="0.4">
      <c r="B14" s="2" t="s">
        <v>43</v>
      </c>
      <c r="C14" s="5">
        <v>1</v>
      </c>
      <c r="D14" s="6">
        <v>45957</v>
      </c>
      <c r="E14" s="6">
        <v>45960</v>
      </c>
      <c r="K14" s="39"/>
      <c r="V14" s="38"/>
    </row>
    <row r="15" spans="2:22" ht="15" thickBot="1" x14ac:dyDescent="0.4">
      <c r="B15" s="21" t="s">
        <v>12</v>
      </c>
      <c r="C15" s="22"/>
      <c r="D15" s="23"/>
      <c r="E15" s="24"/>
    </row>
    <row r="16" spans="2:22" ht="15" thickBot="1" x14ac:dyDescent="0.4">
      <c r="B16" s="3"/>
      <c r="C16" s="7"/>
      <c r="D16" s="8">
        <v>45980</v>
      </c>
      <c r="E16" s="8">
        <f>D16</f>
        <v>45980</v>
      </c>
      <c r="N16" s="37"/>
    </row>
    <row r="17" spans="2:24" ht="15" thickBot="1" x14ac:dyDescent="0.4">
      <c r="B17" s="11" t="s">
        <v>13</v>
      </c>
      <c r="C17" s="12"/>
      <c r="D17" s="13"/>
      <c r="E17" s="14"/>
      <c r="O17" s="31"/>
      <c r="P17" s="31"/>
    </row>
    <row r="18" spans="2:24" ht="15" thickBot="1" x14ac:dyDescent="0.4">
      <c r="B18" s="15" t="s">
        <v>18</v>
      </c>
      <c r="C18" s="5">
        <v>1</v>
      </c>
      <c r="D18" s="16">
        <v>45985</v>
      </c>
      <c r="E18" s="16">
        <v>45998</v>
      </c>
      <c r="O18" s="31"/>
      <c r="P18" s="31"/>
    </row>
    <row r="19" spans="2:24" ht="15" thickBot="1" x14ac:dyDescent="0.4">
      <c r="B19" s="15" t="s">
        <v>44</v>
      </c>
      <c r="C19" s="5">
        <v>1</v>
      </c>
      <c r="D19" s="16">
        <v>45985</v>
      </c>
      <c r="E19" s="16">
        <v>45998</v>
      </c>
      <c r="O19" s="31"/>
      <c r="P19" s="31"/>
    </row>
    <row r="20" spans="2:24" ht="15" thickBot="1" x14ac:dyDescent="0.4">
      <c r="B20" s="17" t="s">
        <v>14</v>
      </c>
      <c r="C20" s="18"/>
      <c r="D20" s="19"/>
      <c r="E20" s="20"/>
      <c r="Q20" s="40"/>
      <c r="R20" s="40"/>
      <c r="W20" s="40"/>
      <c r="X20" s="40"/>
    </row>
    <row r="21" spans="2:24" ht="15" thickBot="1" x14ac:dyDescent="0.4">
      <c r="B21" s="29" t="s">
        <v>46</v>
      </c>
      <c r="C21" s="5">
        <v>1</v>
      </c>
      <c r="D21" s="30">
        <f>E19+1</f>
        <v>45999</v>
      </c>
      <c r="E21" s="30">
        <f>D21+4</f>
        <v>46003</v>
      </c>
      <c r="Q21" s="40"/>
      <c r="W21" s="40"/>
      <c r="X21" s="40"/>
    </row>
    <row r="22" spans="2:24" ht="15" thickBot="1" x14ac:dyDescent="0.4">
      <c r="B22" s="29" t="s">
        <v>47</v>
      </c>
      <c r="C22" s="5">
        <v>1</v>
      </c>
      <c r="D22" s="30">
        <f>D21</f>
        <v>45999</v>
      </c>
      <c r="E22" s="30">
        <f>D22+4</f>
        <v>46003</v>
      </c>
      <c r="Q22" s="40"/>
    </row>
    <row r="23" spans="2:24" ht="15" thickBot="1" x14ac:dyDescent="0.4">
      <c r="B23" s="29" t="s">
        <v>45</v>
      </c>
      <c r="C23" s="5">
        <v>1</v>
      </c>
      <c r="D23" s="30">
        <v>46006</v>
      </c>
      <c r="E23" s="30">
        <v>46011</v>
      </c>
      <c r="R23" s="40"/>
      <c r="W23" s="40"/>
      <c r="X23" s="40"/>
    </row>
    <row r="24" spans="2:24" ht="15" thickBot="1" x14ac:dyDescent="0.4">
      <c r="B24" s="21" t="s">
        <v>15</v>
      </c>
      <c r="C24" s="22"/>
      <c r="D24" s="23"/>
      <c r="E24" s="24"/>
      <c r="S24" s="37"/>
      <c r="T24" s="37"/>
      <c r="U24" s="37"/>
    </row>
    <row r="25" spans="2:24" ht="15" thickBot="1" x14ac:dyDescent="0.4">
      <c r="B25" s="3" t="s">
        <v>19</v>
      </c>
      <c r="C25" s="5">
        <v>1</v>
      </c>
      <c r="D25" s="8">
        <v>46013</v>
      </c>
      <c r="E25" s="8">
        <v>46029</v>
      </c>
      <c r="S25" s="37"/>
      <c r="T25" s="37"/>
      <c r="U25" s="37"/>
    </row>
    <row r="26" spans="2:24" ht="15" thickBot="1" x14ac:dyDescent="0.4">
      <c r="B26" s="3" t="s">
        <v>16</v>
      </c>
      <c r="C26" s="5">
        <v>1</v>
      </c>
      <c r="D26" s="8">
        <v>46029</v>
      </c>
      <c r="E26" s="8">
        <v>46029</v>
      </c>
      <c r="U26" s="37"/>
    </row>
  </sheetData>
  <mergeCells count="6">
    <mergeCell ref="B3:C3"/>
    <mergeCell ref="D3:E3"/>
    <mergeCell ref="G5:K5"/>
    <mergeCell ref="L5:O5"/>
    <mergeCell ref="P5:S5"/>
    <mergeCell ref="T5:U5"/>
  </mergeCells>
  <conditionalFormatting sqref="C7:C26">
    <cfRule type="dataBar" priority="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{734629C0-630F-4014-B415-D43296858AA8}</x14:id>
        </ext>
      </extLst>
    </cfRule>
  </conditionalFormatting>
  <dataValidations disablePrompts="1" count="1">
    <dataValidation type="whole" operator="greaterThanOrEqual" allowBlank="1" showInputMessage="1" promptTitle="Woche anzeigen" prompt="Das Ändern dieser Zahl bewirkt ein Scrollen in der Gantt-Diagrammansicht." sqref="D4" xr:uid="{FD986C52-CB50-44C6-A63B-9F8E13EB313B}">
      <formula1>1</formula1>
    </dataValidation>
  </dataValidations>
  <pageMargins left="0.7" right="0.7" top="0.78740157499999996" bottom="0.78740157499999996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4629C0-630F-4014-B415-D43296858AA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C7:C26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2B3B-0605-4AE0-ACDF-CF866A6B2029}">
  <sheetPr>
    <pageSetUpPr fitToPage="1"/>
  </sheetPr>
  <dimension ref="B3:Q23"/>
  <sheetViews>
    <sheetView zoomScaleNormal="100" workbookViewId="0">
      <selection activeCell="D3" sqref="D3:G3"/>
    </sheetView>
  </sheetViews>
  <sheetFormatPr baseColWidth="10" defaultRowHeight="14.5" x14ac:dyDescent="0.35"/>
  <cols>
    <col min="2" max="2" width="22.90625" customWidth="1"/>
    <col min="5" max="5" width="4.81640625" customWidth="1"/>
    <col min="6" max="6" width="5.90625" customWidth="1"/>
    <col min="7" max="17" width="4.7265625" customWidth="1"/>
  </cols>
  <sheetData>
    <row r="3" spans="2:17" x14ac:dyDescent="0.35">
      <c r="B3" s="76" t="s">
        <v>4</v>
      </c>
      <c r="C3" s="77"/>
      <c r="D3" s="74">
        <v>45778</v>
      </c>
      <c r="E3" s="74"/>
      <c r="F3" s="74"/>
      <c r="G3" s="75"/>
    </row>
    <row r="4" spans="2:17" x14ac:dyDescent="0.35">
      <c r="B4" s="35"/>
      <c r="C4" s="35"/>
      <c r="D4" s="36"/>
    </row>
    <row r="5" spans="2:17" x14ac:dyDescent="0.35">
      <c r="B5" s="45"/>
      <c r="C5" s="41"/>
      <c r="D5" s="41"/>
      <c r="E5" s="41"/>
      <c r="F5" s="41"/>
      <c r="G5" s="45"/>
      <c r="H5" s="41"/>
      <c r="I5" s="41">
        <v>2025</v>
      </c>
      <c r="J5" s="41"/>
      <c r="K5" s="41"/>
      <c r="L5" s="41"/>
      <c r="M5" s="41"/>
      <c r="N5" s="48"/>
      <c r="O5" s="45">
        <v>2026</v>
      </c>
      <c r="P5" s="41"/>
      <c r="Q5" s="48"/>
    </row>
    <row r="6" spans="2:17" x14ac:dyDescent="0.35">
      <c r="B6" s="68" t="s">
        <v>0</v>
      </c>
      <c r="C6" s="4" t="s">
        <v>2</v>
      </c>
      <c r="D6" s="4" t="s">
        <v>3</v>
      </c>
      <c r="E6" s="9" t="s">
        <v>28</v>
      </c>
      <c r="F6" s="9"/>
      <c r="G6" s="42" t="s">
        <v>7</v>
      </c>
      <c r="H6" s="43" t="s">
        <v>8</v>
      </c>
      <c r="I6" s="43" t="s">
        <v>9</v>
      </c>
      <c r="J6" s="43" t="s">
        <v>30</v>
      </c>
      <c r="K6" s="43" t="s">
        <v>31</v>
      </c>
      <c r="L6" s="43" t="s">
        <v>32</v>
      </c>
      <c r="M6" s="43" t="s">
        <v>33</v>
      </c>
      <c r="N6" s="44" t="s">
        <v>34</v>
      </c>
      <c r="O6" s="42" t="s">
        <v>35</v>
      </c>
      <c r="P6" s="43" t="s">
        <v>36</v>
      </c>
      <c r="Q6" s="44" t="s">
        <v>6</v>
      </c>
    </row>
    <row r="7" spans="2:17" x14ac:dyDescent="0.35">
      <c r="B7" s="69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6"/>
    </row>
    <row r="8" spans="2:17" ht="15" thickBot="1" x14ac:dyDescent="0.4">
      <c r="B8" s="49" t="s">
        <v>20</v>
      </c>
      <c r="C8" s="50"/>
      <c r="D8" s="51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7"/>
    </row>
    <row r="9" spans="2:17" x14ac:dyDescent="0.35">
      <c r="B9" s="52"/>
      <c r="C9" s="53">
        <f>D3</f>
        <v>45778</v>
      </c>
      <c r="D9" s="53">
        <f>C9+15</f>
        <v>45793</v>
      </c>
      <c r="E9" s="54">
        <f>D9-C9</f>
        <v>15</v>
      </c>
      <c r="F9" s="54" t="s">
        <v>29</v>
      </c>
      <c r="G9" s="55"/>
      <c r="H9" s="54"/>
      <c r="I9" s="54"/>
      <c r="J9" s="54"/>
      <c r="K9" s="54"/>
      <c r="L9" s="54"/>
      <c r="M9" s="54"/>
      <c r="N9" s="54"/>
      <c r="O9" s="54"/>
      <c r="P9" s="54"/>
      <c r="Q9" s="56"/>
    </row>
    <row r="10" spans="2:17" ht="15" thickBot="1" x14ac:dyDescent="0.4">
      <c r="B10" s="57" t="s">
        <v>21</v>
      </c>
      <c r="C10" s="58"/>
      <c r="D10" s="59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7"/>
    </row>
    <row r="11" spans="2:17" x14ac:dyDescent="0.35">
      <c r="B11" s="60"/>
      <c r="C11" s="61">
        <v>45806</v>
      </c>
      <c r="D11" s="61">
        <v>45817</v>
      </c>
      <c r="E11" s="54">
        <f t="shared" ref="E11:E21" si="0">D11-C11</f>
        <v>11</v>
      </c>
      <c r="F11" s="54" t="s">
        <v>29</v>
      </c>
      <c r="G11" s="62"/>
      <c r="H11" s="62"/>
      <c r="I11" s="54"/>
      <c r="J11" s="54"/>
      <c r="K11" s="54"/>
      <c r="L11" s="54"/>
      <c r="M11" s="54"/>
      <c r="N11" s="54"/>
      <c r="O11" s="54"/>
      <c r="P11" s="54"/>
      <c r="Q11" s="56"/>
    </row>
    <row r="12" spans="2:17" ht="15" thickBot="1" x14ac:dyDescent="0.4">
      <c r="B12" s="57" t="s">
        <v>22</v>
      </c>
      <c r="C12" s="58"/>
      <c r="D12" s="59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7"/>
    </row>
    <row r="13" spans="2:17" x14ac:dyDescent="0.35">
      <c r="B13" s="60"/>
      <c r="C13" s="61">
        <v>45818</v>
      </c>
      <c r="D13" s="61">
        <v>45890</v>
      </c>
      <c r="E13" s="54">
        <f t="shared" si="0"/>
        <v>72</v>
      </c>
      <c r="F13" s="54" t="s">
        <v>29</v>
      </c>
      <c r="G13" s="54"/>
      <c r="H13" s="62"/>
      <c r="I13" s="62"/>
      <c r="J13" s="62"/>
      <c r="K13" s="54"/>
      <c r="L13" s="54"/>
      <c r="M13" s="54"/>
      <c r="N13" s="54"/>
      <c r="O13" s="54"/>
      <c r="P13" s="54"/>
      <c r="Q13" s="56"/>
    </row>
    <row r="14" spans="2:17" ht="15" thickBot="1" x14ac:dyDescent="0.4">
      <c r="B14" s="57" t="s">
        <v>23</v>
      </c>
      <c r="C14" s="58"/>
      <c r="D14" s="59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7"/>
    </row>
    <row r="15" spans="2:17" x14ac:dyDescent="0.35">
      <c r="B15" s="60"/>
      <c r="C15" s="61">
        <v>45891</v>
      </c>
      <c r="D15" s="61">
        <v>45918</v>
      </c>
      <c r="E15" s="54">
        <f t="shared" si="0"/>
        <v>27</v>
      </c>
      <c r="F15" s="54" t="s">
        <v>29</v>
      </c>
      <c r="G15" s="54"/>
      <c r="H15" s="54"/>
      <c r="I15" s="54"/>
      <c r="J15" s="63"/>
      <c r="K15" s="63"/>
      <c r="L15" s="54"/>
      <c r="M15" s="54"/>
      <c r="N15" s="54"/>
      <c r="O15" s="54"/>
      <c r="P15" s="54"/>
      <c r="Q15" s="56"/>
    </row>
    <row r="16" spans="2:17" ht="15" thickBot="1" x14ac:dyDescent="0.4">
      <c r="B16" s="57" t="s">
        <v>24</v>
      </c>
      <c r="C16" s="58"/>
      <c r="D16" s="59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7"/>
    </row>
    <row r="17" spans="2:17" x14ac:dyDescent="0.35">
      <c r="B17" s="60"/>
      <c r="C17" s="61">
        <v>45919</v>
      </c>
      <c r="D17" s="61">
        <v>46006</v>
      </c>
      <c r="E17" s="54">
        <f t="shared" si="0"/>
        <v>87</v>
      </c>
      <c r="F17" s="54" t="s">
        <v>29</v>
      </c>
      <c r="G17" s="54"/>
      <c r="H17" s="54"/>
      <c r="I17" s="54"/>
      <c r="J17" s="54"/>
      <c r="K17" s="63"/>
      <c r="L17" s="63"/>
      <c r="M17" s="63"/>
      <c r="N17" s="63"/>
      <c r="O17" s="54"/>
      <c r="P17" s="54"/>
      <c r="Q17" s="56"/>
    </row>
    <row r="18" spans="2:17" ht="15" thickBot="1" x14ac:dyDescent="0.4">
      <c r="B18" s="49" t="s">
        <v>25</v>
      </c>
      <c r="C18" s="64"/>
      <c r="D18" s="65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7"/>
    </row>
    <row r="19" spans="2:17" x14ac:dyDescent="0.35">
      <c r="B19" s="52"/>
      <c r="C19" s="53">
        <v>46027</v>
      </c>
      <c r="D19" s="53">
        <v>46062</v>
      </c>
      <c r="E19" s="54">
        <f t="shared" si="0"/>
        <v>35</v>
      </c>
      <c r="F19" s="54" t="s">
        <v>29</v>
      </c>
      <c r="G19" s="54"/>
      <c r="H19" s="54"/>
      <c r="I19" s="54"/>
      <c r="J19" s="54"/>
      <c r="K19" s="54"/>
      <c r="L19" s="54"/>
      <c r="M19" s="54"/>
      <c r="N19" s="54"/>
      <c r="O19" s="62"/>
      <c r="P19" s="62"/>
      <c r="Q19" s="56"/>
    </row>
    <row r="20" spans="2:17" ht="15" thickBot="1" x14ac:dyDescent="0.4">
      <c r="B20" s="57" t="s">
        <v>26</v>
      </c>
      <c r="C20" s="58"/>
      <c r="D20" s="59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7"/>
    </row>
    <row r="21" spans="2:17" x14ac:dyDescent="0.35">
      <c r="B21" s="60"/>
      <c r="C21" s="66">
        <v>46070</v>
      </c>
      <c r="D21" s="61">
        <v>46076</v>
      </c>
      <c r="E21" s="54">
        <f t="shared" si="0"/>
        <v>6</v>
      </c>
      <c r="F21" s="54" t="s">
        <v>29</v>
      </c>
      <c r="G21" s="54"/>
      <c r="H21" s="54"/>
      <c r="I21" s="54"/>
      <c r="J21" s="54"/>
      <c r="K21" s="54"/>
      <c r="L21" s="54"/>
      <c r="M21" s="54"/>
      <c r="N21" s="54"/>
      <c r="O21" s="54"/>
      <c r="P21" s="62"/>
      <c r="Q21" s="56"/>
    </row>
    <row r="22" spans="2:17" ht="15" thickBot="1" x14ac:dyDescent="0.4">
      <c r="B22" s="49" t="s">
        <v>27</v>
      </c>
      <c r="C22" s="67"/>
      <c r="D22" s="65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7"/>
    </row>
    <row r="23" spans="2:17" x14ac:dyDescent="0.35">
      <c r="B23" s="52"/>
      <c r="C23" s="53">
        <v>46086</v>
      </c>
      <c r="D23" s="53">
        <f>C23</f>
        <v>46086</v>
      </c>
      <c r="E23" s="54">
        <v>1</v>
      </c>
      <c r="F23" s="54" t="s">
        <v>29</v>
      </c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70"/>
    </row>
  </sheetData>
  <mergeCells count="2">
    <mergeCell ref="D3:G3"/>
    <mergeCell ref="B3:C3"/>
  </mergeCells>
  <phoneticPr fontId="9" type="noConversion"/>
  <dataValidations disablePrompts="1" count="1">
    <dataValidation type="whole" operator="greaterThanOrEqual" allowBlank="1" showInputMessage="1" promptTitle="Woche anzeigen" prompt="Das Ändern dieser Zahl bewirkt ein Scrollen in der Gantt-Diagrammansicht." sqref="D4" xr:uid="{B2CA5130-DC85-43AC-BC3A-BC3C7D0122BA}">
      <formula1>1</formula1>
    </dataValidation>
  </dataValidations>
  <pageMargins left="0.7" right="0.7" top="0.78740157499999996" bottom="0.78740157499999996" header="0.3" footer="0.3"/>
  <pageSetup paperSize="9" fitToWidth="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Tabelle1</vt:lpstr>
      <vt:lpstr>Tabelle2</vt:lpstr>
      <vt:lpstr>Projektanfang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Sedlmeir, Kim</dc:creator>
  <cp:lastModifiedBy>Felix Neumann</cp:lastModifiedBy>
  <dcterms:created xsi:type="dcterms:W3CDTF">2025-04-09T14:00:17Z</dcterms:created>
  <dcterms:modified xsi:type="dcterms:W3CDTF">2026-01-02T14:43:57Z</dcterms:modified>
</cp:coreProperties>
</file>